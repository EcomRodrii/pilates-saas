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Escalera" sheetId="2" state="visible" r:id="rId2"/>
    <sheet name="E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0.0%"/>
    <numFmt numFmtId="166" formatCode="#,##0 &quot;€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1F4E9A"/>
      <sz val="10"/>
    </font>
    <font>
      <name val="Arial"/>
      <i val="1"/>
      <color rgb="005A5A52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43825"/>
      </patternFill>
    </fill>
    <fill>
      <patternFill patternType="solid">
        <fgColor rgb="00FFF6D6"/>
      </patternFill>
    </fill>
    <fill>
      <patternFill patternType="solid">
        <fgColor rgb="00EFEFE9"/>
      </patternFill>
    </fill>
  </fills>
  <borders count="5">
    <border>
      <left/>
      <right/>
      <top/>
      <bottom/>
      <diagonal/>
    </border>
    <border>
      <left style="thin">
        <color rgb="00CFCFC6"/>
      </left>
      <right style="thin">
        <color rgb="00CFCFC6"/>
      </right>
      <top style="thin">
        <color rgb="00CFCFC6"/>
      </top>
      <bottom style="thin">
        <color rgb="00CFCFC6"/>
      </bottom>
    </border>
    <border>
      <left/>
      <right/>
      <top style="thin">
        <color rgb="00CFCFC6"/>
      </top>
      <bottom/>
      <diagonal/>
    </border>
    <border>
      <left/>
      <right style="thin">
        <color rgb="00CFCFC6"/>
      </right>
      <top style="thin">
        <color rgb="00CFCFC6"/>
      </top>
      <bottom/>
      <diagonal/>
    </border>
    <border>
      <left/>
      <right style="thin">
        <color rgb="00CFCFC6"/>
      </right>
      <top style="thin">
        <color rgb="00CFCFC6"/>
      </top>
      <bottom style="thin">
        <color rgb="00CFCFC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4" fillId="3" borderId="1" pivotButton="0" quotePrefix="0" xfId="0"/>
    <xf numFmtId="0" fontId="5" fillId="0" borderId="0" applyAlignment="1" pivotButton="0" quotePrefix="0" xfId="0">
      <alignment vertical="center" wrapText="1"/>
    </xf>
    <xf numFmtId="165" fontId="2" fillId="4" borderId="1" pivotButton="0" quotePrefix="0" xfId="0"/>
    <xf numFmtId="0" fontId="6" fillId="2" borderId="1" applyAlignment="1" pivotButton="0" quotePrefix="0" xfId="0">
      <alignment horizontal="center" vertical="center" wrapText="1"/>
    </xf>
    <xf numFmtId="1" fontId="2" fillId="4" borderId="1" pivotButton="0" quotePrefix="0" xfId="0"/>
    <xf numFmtId="164" fontId="2" fillId="4" borderId="1" pivotButton="0" quotePrefix="0" xfId="0"/>
    <xf numFmtId="164" fontId="3" fillId="4" borderId="1" pivotButton="0" quotePrefix="0" xfId="0"/>
    <xf numFmtId="9" fontId="2" fillId="4" borderId="1" pivotButton="0" quotePrefix="0" xfId="0"/>
    <xf numFmtId="0" fontId="2" fillId="4" borderId="1" pivotButton="0" quotePrefix="0" xfId="0"/>
    <xf numFmtId="165" fontId="4" fillId="3" borderId="1" pivotButton="0" quotePrefix="0" xfId="0"/>
    <xf numFmtId="0" fontId="3" fillId="0" borderId="0" applyAlignment="1" pivotButton="0" quotePrefix="0" xfId="0">
      <alignment vertical="center" wrapText="1"/>
    </xf>
    <xf numFmtId="0" fontId="3" fillId="4" borderId="1" pivotButton="0" quotePrefix="0" xfId="0"/>
    <xf numFmtId="0" fontId="0" fillId="0" borderId="4" pivotButton="0" quotePrefix="0" xfId="0"/>
    <xf numFmtId="1" fontId="4" fillId="3" borderId="1" pivotButton="0" quotePrefix="0" xfId="0"/>
    <xf numFmtId="166" fontId="3" fillId="4" borderId="1" pivotButton="0" quotePrefix="0" xfId="0"/>
    <xf numFmtId="3" fontId="2" fillId="4" borderId="1" pivotButton="0" quotePrefix="0" xfId="0"/>
    <xf numFmtId="166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Simulador de tu escalera de precios de bonos y cuotas</t>
        </is>
      </c>
    </row>
    <row r="3" ht="45" customHeight="1">
      <c r="A3" s="2" t="inlineStr">
        <is>
          <t>Qué hace: parte del precio de tu clase suelta y de un descuento por escalón, te dice lo que sale cada sesión y el ahorro de cada producto, y te deja comparar hasta tres escenarios de precios con lo que vendes al mes. Es la escalera de la guía «Bonos de pilates» con tus números.</t>
        </is>
      </c>
    </row>
    <row r="4" ht="45" customHeight="1">
      <c r="A4" s="2" t="inlineStr">
        <is>
          <t>Cómo se usa: 1) En «Escalera» pon tu clase suelta, tus descuentos y lo que te cuesta una plaza. 2) En «Escenarios» pon cuántos productos vendes al mes y prueba otros precios en las columnas «A» y «B». 3) Mira las alertas en rojo.</t>
        </is>
      </c>
    </row>
    <row r="5" ht="45" customHeight="1">
      <c r="A5" s="2" t="inlineStr">
        <is>
          <t>Dos errores que avisa: un escalón por debajo de lo que te cuesta una plaza (vendes con pérdida), y un bono de 10 más barato por sesión que la cuota de una clase semanal (empujas a tus alumnas fuera de la cuota).</t>
        </is>
      </c>
    </row>
    <row r="6" ht="30" customHeight="1">
      <c r="A6" s="2" t="inlineStr">
        <is>
          <t>Los precios llevan IVA (es lo que publican los estudios); el coste por plaza va SIN IVA. Para comparar, el modelo quita el 21 % al precio antes de mirar si cubre el coste.</t>
        </is>
      </c>
    </row>
    <row r="7" ht="30" customHeight="1">
      <c r="A7" s="2" t="inlineStr">
        <is>
          <t>Los números que trae son un ejemplo (25 € la suelta, bonos al 12 % y al 20 %, cuotas al 24 % y 34 %). Sustitúyelos por los tuyos.</t>
        </is>
      </c>
    </row>
    <row r="8" ht="30" customHeight="1">
      <c r="A8" s="2" t="inlineStr">
        <is>
          <t>Las cuotas se calculan con cuatro clases al mes (una a la semana) y ocho (dos a la semana). Es una aproximación: un mes real tiene entre 4 y 5 semanas.</t>
        </is>
      </c>
    </row>
    <row r="9" ht="30" customHeight="1">
      <c r="A9" s="2" t="inlineStr">
        <is>
          <t>No es asesoramiento fiscal ni de precios: es una calculadora. Revisa con tu asesoría cualquier decisión con impacto fiscal.</t>
        </is>
      </c>
    </row>
    <row r="11">
      <c r="A11" s="3" t="inlineStr">
        <is>
          <t>Cómo leer los colores</t>
        </is>
      </c>
    </row>
    <row r="12" ht="30" customHeight="1">
      <c r="A12" s="4" t="inlineStr">
        <is>
          <t>Celda crema con letra azul: la rellenas tú con tus números.</t>
        </is>
      </c>
    </row>
    <row r="13" ht="30" customHeight="1">
      <c r="A13" s="5" t="inlineStr">
        <is>
          <t>Celda gris: es una fórmula. No escribas encima: si lo haces, borras la fórmula y la hoja deja de cuadrar.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Tu escalera de precios</t>
        </is>
      </c>
    </row>
    <row r="3">
      <c r="A3" s="6" t="inlineStr">
        <is>
          <t>Precio de la clase suelta, con IVA (€)</t>
        </is>
      </c>
      <c r="B3" s="7" t="n">
        <v>25</v>
      </c>
    </row>
    <row r="4" ht="30" customHeight="1">
      <c r="A4" s="6" t="inlineStr">
        <is>
          <t>Lo que te cuesta una plaza ocupada, SIN IVA (€)</t>
        </is>
      </c>
      <c r="B4" s="7" t="n">
        <v>11</v>
      </c>
      <c r="C4" s="8" t="inlineStr">
        <is>
          <t>Pon 0 si no quieres que avise del coste. Cómo calcularlo: guía «¿Es rentable un estudio de pilates?».</t>
        </is>
      </c>
    </row>
    <row r="5">
      <c r="A5" s="6" t="inlineStr">
        <is>
          <t>IVA de una clase (fijo)</t>
        </is>
      </c>
      <c r="B5" s="9" t="n">
        <v>0.21</v>
      </c>
    </row>
    <row r="7">
      <c r="A7" s="10" t="inlineStr">
        <is>
          <t>Producto</t>
        </is>
      </c>
      <c r="B7" s="10" t="inlineStr">
        <is>
          <t>Sesiones</t>
        </is>
      </c>
      <c r="C7" s="10" t="inlineStr">
        <is>
          <t>Descuento por sesión</t>
        </is>
      </c>
      <c r="D7" s="10" t="inlineStr">
        <is>
          <t>Precio por sesión (€)</t>
        </is>
      </c>
      <c r="E7" s="10" t="inlineStr">
        <is>
          <t>Precio del producto (€)</t>
        </is>
      </c>
      <c r="F7" s="10" t="inlineStr">
        <is>
          <t>Ahorro frente a la suelta</t>
        </is>
      </c>
      <c r="G7" s="10" t="inlineStr">
        <is>
          <t>Alerta</t>
        </is>
      </c>
    </row>
    <row r="8" ht="22" customHeight="1">
      <c r="A8" s="6" t="inlineStr">
        <is>
          <t>Clase suelta</t>
        </is>
      </c>
      <c r="B8" s="11" t="n">
        <v>1</v>
      </c>
      <c r="C8" s="9" t="n">
        <v>0</v>
      </c>
      <c r="D8" s="12">
        <f>ROUND($B$3*(1-C8),2)</f>
        <v/>
      </c>
      <c r="E8" s="13">
        <f>ROUND(D8*B8,2)</f>
        <v/>
      </c>
      <c r="F8" s="14">
        <f>IF($B$3&gt;0,ROUND((1-D8/$B$3)*100,0)/100,0)</f>
        <v/>
      </c>
      <c r="G8" s="15">
        <f>IF(AND($B$4&gt;0,D8/(1+$B$5)&lt;$B$4),"Por debajo de tu coste","")</f>
        <v/>
      </c>
    </row>
    <row r="9" ht="22" customHeight="1">
      <c r="A9" s="6" t="inlineStr">
        <is>
          <t>Bono de 5 sesiones</t>
        </is>
      </c>
      <c r="B9" s="11" t="n">
        <v>5</v>
      </c>
      <c r="C9" s="16" t="n">
        <v>0.12</v>
      </c>
      <c r="D9" s="12">
        <f>ROUND($B$3*(1-C9),2)</f>
        <v/>
      </c>
      <c r="E9" s="13">
        <f>ROUND(D9*B9,2)</f>
        <v/>
      </c>
      <c r="F9" s="14">
        <f>IF($B$3&gt;0,ROUND((1-D9/$B$3)*100,0)/100,0)</f>
        <v/>
      </c>
      <c r="G9" s="15">
        <f>IF(AND($B$4&gt;0,D9/(1+$B$5)&lt;$B$4),"Por debajo de tu coste","")</f>
        <v/>
      </c>
    </row>
    <row r="10" ht="22" customHeight="1">
      <c r="A10" s="6" t="inlineStr">
        <is>
          <t>Bono de 10 sesiones</t>
        </is>
      </c>
      <c r="B10" s="11" t="n">
        <v>10</v>
      </c>
      <c r="C10" s="16" t="n">
        <v>0.2</v>
      </c>
      <c r="D10" s="12">
        <f>ROUND($B$3*(1-C10),2)</f>
        <v/>
      </c>
      <c r="E10" s="13">
        <f>ROUND(D10*B10,2)</f>
        <v/>
      </c>
      <c r="F10" s="14">
        <f>IF($B$3&gt;0,ROUND((1-D10/$B$3)*100,0)/100,0)</f>
        <v/>
      </c>
      <c r="G10" s="15">
        <f>IF(AND($B$4&gt;0,D10/(1+$B$5)&lt;$B$4),"Por debajo de tu coste","")</f>
        <v/>
      </c>
    </row>
    <row r="11" ht="22" customHeight="1">
      <c r="A11" s="6" t="inlineStr">
        <is>
          <t>Cuota de 1 clase a la semana (al mes)</t>
        </is>
      </c>
      <c r="B11" s="11" t="n">
        <v>4</v>
      </c>
      <c r="C11" s="16" t="n">
        <v>0.24</v>
      </c>
      <c r="D11" s="12">
        <f>ROUND($B$3*(1-C11),2)</f>
        <v/>
      </c>
      <c r="E11" s="13">
        <f>ROUND(D11*B11,2)</f>
        <v/>
      </c>
      <c r="F11" s="14">
        <f>IF($B$3&gt;0,ROUND((1-D11/$B$3)*100,0)/100,0)</f>
        <v/>
      </c>
      <c r="G11" s="15">
        <f>IF(AND($B$4&gt;0,D11/(1+$B$5)&lt;$B$4),"Por debajo de tu coste","")</f>
        <v/>
      </c>
    </row>
    <row r="12" ht="22" customHeight="1">
      <c r="A12" s="6" t="inlineStr">
        <is>
          <t>Cuota de 2 clases a la semana (al mes)</t>
        </is>
      </c>
      <c r="B12" s="11" t="n">
        <v>8</v>
      </c>
      <c r="C12" s="16" t="n">
        <v>0.34</v>
      </c>
      <c r="D12" s="12">
        <f>ROUND($B$3*(1-C12),2)</f>
        <v/>
      </c>
      <c r="E12" s="13">
        <f>ROUND(D12*B12,2)</f>
        <v/>
      </c>
      <c r="F12" s="14">
        <f>IF($B$3&gt;0,ROUND((1-D12/$B$3)*100,0)/100,0)</f>
        <v/>
      </c>
      <c r="G12" s="15">
        <f>IF(AND($B$4&gt;0,D12/(1+$B$5)&lt;$B$4),"Por debajo de tu coste","")</f>
        <v/>
      </c>
    </row>
    <row r="14" ht="30" customHeight="1">
      <c r="A14" s="17" t="inlineStr">
        <is>
          <t>¿El bono de 10 sale más barato por sesión que la cuota de 1 clase semanal?</t>
        </is>
      </c>
      <c r="F14" s="18">
        <f>IF($B$3*(1-C10)&lt;$B$3*(1-C11),"Sí: empuja fuera de la cuota","No")</f>
        <v/>
      </c>
      <c r="G14" s="19" t="n"/>
    </row>
    <row r="16">
      <c r="A16" s="8" t="inlineStr">
        <is>
          <t>Las cuotas son el precio al mes; «sesiones» es cuántas clases incluye ese mes (4 y 8).</t>
        </is>
      </c>
    </row>
  </sheetData>
  <mergeCells count="4">
    <mergeCell ref="A16:G16"/>
    <mergeCell ref="F14:G14"/>
    <mergeCell ref="A1:G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Compara tres escenarios con lo que vendes al mes</t>
        </is>
      </c>
    </row>
    <row r="3">
      <c r="A3" s="10" t="inlineStr"/>
      <c r="B3" s="10" t="inlineStr">
        <is>
          <t>Ahora</t>
        </is>
      </c>
      <c r="C3" s="10" t="inlineStr">
        <is>
          <t>Escenario A</t>
        </is>
      </c>
      <c r="D3" s="10" t="inlineStr">
        <is>
          <t>Escenario B</t>
        </is>
      </c>
    </row>
    <row r="4">
      <c r="A4" s="17" t="inlineStr">
        <is>
          <t>Descuentos por sesión</t>
        </is>
      </c>
    </row>
    <row r="5">
      <c r="A5" s="6" t="inlineStr">
        <is>
          <t>Bono de 5 sesiones</t>
        </is>
      </c>
      <c r="B5" s="9">
        <f>Escalera!C9</f>
        <v/>
      </c>
      <c r="C5" s="16" t="n">
        <v>0.1</v>
      </c>
      <c r="D5" s="16" t="n">
        <v>0.15</v>
      </c>
    </row>
    <row r="6">
      <c r="A6" s="6" t="inlineStr">
        <is>
          <t>Bono de 10 sesiones</t>
        </is>
      </c>
      <c r="B6" s="9">
        <f>Escalera!C10</f>
        <v/>
      </c>
      <c r="C6" s="16" t="n">
        <v>0.18</v>
      </c>
      <c r="D6" s="16" t="n">
        <v>0.22</v>
      </c>
    </row>
    <row r="7">
      <c r="A7" s="6" t="inlineStr">
        <is>
          <t>Cuota de 1 clase a la semana</t>
        </is>
      </c>
      <c r="B7" s="9">
        <f>Escalera!C11</f>
        <v/>
      </c>
      <c r="C7" s="16" t="n">
        <v>0.24</v>
      </c>
      <c r="D7" s="16" t="n">
        <v>0.26</v>
      </c>
    </row>
    <row r="8">
      <c r="A8" s="6" t="inlineStr">
        <is>
          <t>Cuota de 2 clases a la semana</t>
        </is>
      </c>
      <c r="B8" s="9">
        <f>Escalera!C12</f>
        <v/>
      </c>
      <c r="C8" s="16" t="n">
        <v>0.34</v>
      </c>
      <c r="D8" s="16" t="n">
        <v>0.36</v>
      </c>
    </row>
    <row r="9">
      <c r="A9" s="8" t="inlineStr">
        <is>
          <t>«Ahora» sale de la hoja «Escalera». En A y B pon los descuentos que quieres probar.</t>
        </is>
      </c>
    </row>
    <row r="11">
      <c r="A11" s="17" t="inlineStr">
        <is>
          <t>Lo que vendes al mes (unidades)</t>
        </is>
      </c>
    </row>
    <row r="12">
      <c r="A12" s="6" t="inlineStr">
        <is>
          <t>Clases sueltas</t>
        </is>
      </c>
      <c r="B12" s="20" t="n">
        <v>60</v>
      </c>
      <c r="C12" s="20" t="n">
        <v>60</v>
      </c>
      <c r="D12" s="20" t="n">
        <v>60</v>
      </c>
    </row>
    <row r="13">
      <c r="A13" s="6" t="inlineStr">
        <is>
          <t>Bonos de 5 sesiones</t>
        </is>
      </c>
      <c r="B13" s="20" t="n">
        <v>12</v>
      </c>
      <c r="C13" s="20" t="n">
        <v>12</v>
      </c>
      <c r="D13" s="20" t="n">
        <v>12</v>
      </c>
    </row>
    <row r="14">
      <c r="A14" s="6" t="inlineStr">
        <is>
          <t>Bonos de 10 sesiones</t>
        </is>
      </c>
      <c r="B14" s="20" t="n">
        <v>10</v>
      </c>
      <c r="C14" s="20" t="n">
        <v>10</v>
      </c>
      <c r="D14" s="20" t="n">
        <v>10</v>
      </c>
    </row>
    <row r="15">
      <c r="A15" s="6" t="inlineStr">
        <is>
          <t>Cuotas de 1 clase a la semana</t>
        </is>
      </c>
      <c r="B15" s="20" t="n">
        <v>25</v>
      </c>
      <c r="C15" s="20" t="n">
        <v>25</v>
      </c>
      <c r="D15" s="20" t="n">
        <v>25</v>
      </c>
    </row>
    <row r="16">
      <c r="A16" s="6" t="inlineStr">
        <is>
          <t>Cuotas de 2 clases a la semana</t>
        </is>
      </c>
      <c r="B16" s="20" t="n">
        <v>15</v>
      </c>
      <c r="C16" s="20" t="n">
        <v>15</v>
      </c>
      <c r="D16" s="20" t="n">
        <v>15</v>
      </c>
    </row>
    <row r="17">
      <c r="A17" s="8" t="inlineStr">
        <is>
          <t>Si un escenario cambia lo que vendes (más bonos, menos sueltas…), cámbialo aquí. Cada columna es independiente.</t>
        </is>
      </c>
    </row>
    <row r="19">
      <c r="A19" s="17" t="inlineStr">
        <is>
          <t>Resultado del mes</t>
        </is>
      </c>
    </row>
    <row r="20">
      <c r="A20" s="6" t="inlineStr">
        <is>
          <t>Precio por sesión del bono de 5 (€)</t>
        </is>
      </c>
      <c r="B20" s="12">
        <f>ROUND(Escalera!$B$3*(1-B5),2)</f>
        <v/>
      </c>
      <c r="C20" s="12">
        <f>ROUND(Escalera!$B$3*(1-C5),2)</f>
        <v/>
      </c>
      <c r="D20" s="12">
        <f>ROUND(Escalera!$B$3*(1-D5),2)</f>
        <v/>
      </c>
    </row>
    <row r="21">
      <c r="A21" s="6" t="inlineStr">
        <is>
          <t>Precio por sesión del bono de 10 (€)</t>
        </is>
      </c>
      <c r="B21" s="12">
        <f>ROUND(Escalera!$B$3*(1-B6),2)</f>
        <v/>
      </c>
      <c r="C21" s="12">
        <f>ROUND(Escalera!$B$3*(1-C6),2)</f>
        <v/>
      </c>
      <c r="D21" s="12">
        <f>ROUND(Escalera!$B$3*(1-D6),2)</f>
        <v/>
      </c>
    </row>
    <row r="22">
      <c r="A22" s="6" t="inlineStr">
        <is>
          <t>Precio por sesión de la cuota de 1 clase (€)</t>
        </is>
      </c>
      <c r="B22" s="12">
        <f>ROUND(Escalera!$B$3*(1-B7),2)</f>
        <v/>
      </c>
      <c r="C22" s="12">
        <f>ROUND(Escalera!$B$3*(1-C7),2)</f>
        <v/>
      </c>
      <c r="D22" s="12">
        <f>ROUND(Escalera!$B$3*(1-D7),2)</f>
        <v/>
      </c>
    </row>
    <row r="23">
      <c r="A23" s="6" t="inlineStr">
        <is>
          <t>Precio por sesión de la cuota de 2 clases (€)</t>
        </is>
      </c>
      <c r="B23" s="12">
        <f>ROUND(Escalera!$B$3*(1-B8),2)</f>
        <v/>
      </c>
      <c r="C23" s="12">
        <f>ROUND(Escalera!$B$3*(1-C8),2)</f>
        <v/>
      </c>
      <c r="D23" s="12">
        <f>ROUND(Escalera!$B$3*(1-D8),2)</f>
        <v/>
      </c>
    </row>
    <row r="24" ht="20" customHeight="1">
      <c r="A24" s="17" t="inlineStr">
        <is>
          <t>Ingresos del mes, con IVA (€)</t>
        </is>
      </c>
      <c r="B24" s="21">
        <f>ROUND(B12*Escalera!$B$3+B13*B20*5+B14*B21*10+B15*B22*4+B16*B23*8,2)</f>
        <v/>
      </c>
      <c r="C24" s="21">
        <f>ROUND(C12*Escalera!$B$3+C13*C20*5+C14*C21*10+C15*C22*4+C16*C23*8,2)</f>
        <v/>
      </c>
      <c r="D24" s="21">
        <f>ROUND(D12*Escalera!$B$3+D13*D20*5+D14*D21*10+D15*D22*4+D16*D23*8,2)</f>
        <v/>
      </c>
    </row>
    <row r="25" ht="20" customHeight="1">
      <c r="A25" s="17" t="inlineStr">
        <is>
          <t>Ingresos del mes, sin IVA (€)</t>
        </is>
      </c>
      <c r="B25" s="21">
        <f>ROUND(B24/(1+Escalera!$B$5),2)</f>
        <v/>
      </c>
      <c r="C25" s="21">
        <f>ROUND(C24/(1+Escalera!$B$5),2)</f>
        <v/>
      </c>
      <c r="D25" s="21">
        <f>ROUND(D24/(1+Escalera!$B$5),2)</f>
        <v/>
      </c>
    </row>
    <row r="26" ht="20" customHeight="1">
      <c r="A26" s="6" t="inlineStr">
        <is>
          <t>Sesiones vendidas en el mes</t>
        </is>
      </c>
      <c r="B26" s="22">
        <f>B12+B13*5+B14*10+B15*4+B16*8</f>
        <v/>
      </c>
      <c r="C26" s="22">
        <f>C12+C13*5+C14*10+C15*4+C16*8</f>
        <v/>
      </c>
      <c r="D26" s="22">
        <f>D12+D13*5+D14*10+D15*4+D16*8</f>
        <v/>
      </c>
    </row>
    <row r="27" ht="20" customHeight="1">
      <c r="A27" s="6" t="inlineStr">
        <is>
          <t>Coste de esas plazas (€)</t>
        </is>
      </c>
      <c r="B27" s="23">
        <f>ROUND(B26*Escalera!$B$4,2)</f>
        <v/>
      </c>
      <c r="C27" s="23">
        <f>ROUND(C26*Escalera!$B$4,2)</f>
        <v/>
      </c>
      <c r="D27" s="23">
        <f>ROUND(D26*Escalera!$B$4,2)</f>
        <v/>
      </c>
    </row>
    <row r="28" ht="20" customHeight="1">
      <c r="A28" s="17" t="inlineStr">
        <is>
          <t>Margen del mes sobre el coste de la plaza (€)</t>
        </is>
      </c>
      <c r="B28" s="21">
        <f>ROUND(B25-B27,2)</f>
        <v/>
      </c>
      <c r="C28" s="21">
        <f>ROUND(C25-C27,2)</f>
        <v/>
      </c>
      <c r="D28" s="21">
        <f>ROUND(D25-D27,2)</f>
        <v/>
      </c>
    </row>
    <row r="29" ht="20" customHeight="1">
      <c r="A29" s="6" t="inlineStr">
        <is>
          <t>Ingreso medio por sesión, sin IVA (€)</t>
        </is>
      </c>
      <c r="B29" s="12">
        <f>IF(B26&gt;0,ROUND(B25/B26,2),0)</f>
        <v/>
      </c>
      <c r="C29" s="12">
        <f>IF(C26&gt;0,ROUND(C25/C26,2),0)</f>
        <v/>
      </c>
      <c r="D29" s="12">
        <f>IF(D26&gt;0,ROUND(D25/D26,2),0)</f>
        <v/>
      </c>
    </row>
    <row r="30" ht="20" customHeight="1">
      <c r="A30" s="17" t="inlineStr">
        <is>
          <t>Diferencia de margen frente a «Ahora» (€)</t>
        </is>
      </c>
      <c r="B30" s="21">
        <f>ROUND(B28-$B$28,2)</f>
        <v/>
      </c>
      <c r="C30" s="21">
        <f>ROUND(C28-$B$28,2)</f>
        <v/>
      </c>
      <c r="D30" s="21">
        <f>ROUND(D28-$B$28,2)</f>
        <v/>
      </c>
    </row>
    <row r="31" ht="20" customHeight="1">
      <c r="A31" s="6" t="inlineStr">
        <is>
          <t>Alerta: algún escalón por debajo de tu coste</t>
        </is>
      </c>
      <c r="B31" s="15">
        <f>IF(AND(Escalera!$B$4&gt;0,MIN(Escalera!$D$8,B20,B21,B22,B23)/(1+Escalera!$B$5)&lt;Escalera!$B$4),"Sí","No")</f>
        <v/>
      </c>
      <c r="C31" s="15">
        <f>IF(AND(Escalera!$B$4&gt;0,MIN(Escalera!$D$8,C20,C21,C22,C23)/(1+Escalera!$B$5)&lt;Escalera!$B$4),"Sí","No")</f>
        <v/>
      </c>
      <c r="D31" s="15">
        <f>IF(AND(Escalera!$B$4&gt;0,MIN(Escalera!$D$8,D20,D21,D22,D23)/(1+Escalera!$B$5)&lt;Escalera!$B$4),"Sí","No")</f>
        <v/>
      </c>
    </row>
    <row r="32" ht="20" customHeight="1">
      <c r="A32" s="6" t="inlineStr">
        <is>
          <t>Alerta: el bono de 10 canibaliza la cuota</t>
        </is>
      </c>
      <c r="B32" s="15">
        <f>IF(B21&lt;B22,"Sí","No")</f>
        <v/>
      </c>
      <c r="C32" s="15">
        <f>IF(C21&lt;C22,"Sí","No")</f>
        <v/>
      </c>
      <c r="D32" s="15">
        <f>IF(D21&lt;D22,"Sí","No")</f>
        <v/>
      </c>
    </row>
    <row r="33" ht="30" customHeight="1">
      <c r="A33" s="8" t="inlineStr">
        <is>
          <t>El margen es una aproximación: supone que cada sesión vendida se da en el mes y mide solo el coste de la plaza, no el resto de tus gastos fijos.</t>
        </is>
      </c>
    </row>
  </sheetData>
  <mergeCells count="4">
    <mergeCell ref="A1:D1"/>
    <mergeCell ref="A17:D17"/>
    <mergeCell ref="A9:D9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2026-10-09T21:01:34Z</dcterms:created>
  <dcterms:modified xsi:type="dcterms:W3CDTF">2026-10-09T21:01:34Z</dcterms:modified>
</cp:coreProperties>
</file>