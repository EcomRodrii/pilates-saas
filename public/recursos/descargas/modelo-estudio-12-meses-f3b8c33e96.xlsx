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Supuestos" sheetId="2" state="visible" r:id="rId2"/>
    <sheet name="12 meses" sheetId="3" state="visible" r:id="rId3"/>
    <sheet name="Equilib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 &quot;€&quot;"/>
    <numFmt numFmtId="166" formatCode="#,##0 &quot;€&quot;"/>
    <numFmt numFmtId="167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1F4E9A"/>
      <sz val="10"/>
    </font>
    <font>
      <name val="Arial"/>
      <b val="1"/>
      <color rgb="00FFFFFF"/>
      <sz val="10"/>
    </font>
    <font>
      <name val="Arial"/>
      <i val="1"/>
      <color rgb="005A5A52"/>
      <sz val="9"/>
    </font>
  </fonts>
  <fills count="5">
    <fill>
      <patternFill/>
    </fill>
    <fill>
      <patternFill patternType="gray125"/>
    </fill>
    <fill>
      <patternFill patternType="solid">
        <fgColor rgb="00343825"/>
      </patternFill>
    </fill>
    <fill>
      <patternFill patternType="solid">
        <fgColor rgb="00FFF6D6"/>
      </patternFill>
    </fill>
    <fill>
      <patternFill patternType="solid">
        <fgColor rgb="00EFEFE9"/>
      </patternFill>
    </fill>
  </fills>
  <borders count="2">
    <border>
      <left/>
      <right/>
      <top/>
      <bottom/>
      <diagonal/>
    </border>
    <border>
      <left style="thin">
        <color rgb="00CFCFC6"/>
      </left>
      <right style="thin">
        <color rgb="00CFCFC6"/>
      </right>
      <top style="thin">
        <color rgb="00CFCFC6"/>
      </top>
      <bottom style="thin">
        <color rgb="00CFCFC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" fontId="4" fillId="3" borderId="1" pivotButton="0" quotePrefix="0" xfId="0"/>
    <xf numFmtId="0" fontId="6" fillId="0" borderId="0" applyAlignment="1" pivotButton="0" quotePrefix="0" xfId="0">
      <alignment vertical="center" wrapText="1"/>
    </xf>
    <xf numFmtId="164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2" fontId="2" fillId="4" borderId="1" pivotButton="0" quotePrefix="0" xfId="0"/>
    <xf numFmtId="1" fontId="2" fillId="4" borderId="1" pivotButton="0" quotePrefix="0" xfId="0"/>
    <xf numFmtId="0" fontId="2" fillId="4" borderId="1" pivotButton="0" quotePrefix="0" xfId="0"/>
    <xf numFmtId="164" fontId="2" fillId="4" borderId="1" pivotButton="0" quotePrefix="0" xfId="0"/>
    <xf numFmtId="167" fontId="2" fillId="4" borderId="1" pivotButton="0" quotePrefix="0" xfId="0"/>
    <xf numFmtId="167" fontId="3" fillId="4" borderId="1" pivotButton="0" quotePrefix="0" xfId="0"/>
    <xf numFmtId="166" fontId="2" fillId="4" borderId="1" pivotButton="0" quotePrefix="0" xfId="0"/>
    <xf numFmtId="166" fontId="3" fillId="4" borderId="1" pivotButton="0" quotePrefix="0" xfId="0"/>
    <xf numFmtId="0" fontId="3" fillId="0" borderId="0" applyAlignment="1" pivotButton="0" quotePrefix="0" xfId="0">
      <alignment vertical="center" wrapText="1"/>
    </xf>
    <xf numFmtId="165" fontId="2" fillId="4" borderId="1" pivotButton="0" quotePrefix="0" xfId="0"/>
    <xf numFmtId="164" fontId="3" fillId="4" borderId="1" pivotButton="0" quotePrefix="0" xfId="0"/>
    <xf numFmtId="165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Modelo de tu estudio de pilates a 12 meses</t>
        </is>
      </c>
    </row>
    <row r="3" ht="45" customHeight="1">
      <c r="A3" s="2" t="inlineStr">
        <is>
          <t>Qué hace: con los números de tu estudio, te dice mes a mes cuánto ingresas, cuánto gastas, cuánto te queda y a partir de qué ocupación cubres costes y tu propio sueldo. Es la cuenta de la guía «¿Es rentable un estudio de pilates?» llevada a un año.</t>
        </is>
      </c>
    </row>
    <row r="4" ht="45" customHeight="1">
      <c r="A4" s="2" t="inlineStr">
        <is>
          <t>Cómo se usa: 1) En la hoja «Supuestos» cambia las celdas crema por tus números. 2) Mira «12 meses» para ver el año. 3) Mira «Equilibrio» para saber la ocupación que necesitas. Prueba a subir el precio o a quitar una clase y vuelve a mirar.</t>
        </is>
      </c>
    </row>
    <row r="5" ht="30" customHeight="1">
      <c r="A5" s="2" t="inlineStr">
        <is>
          <t>La fórmula de ingresos: plazas por clase × clases a la semana × 4,33 × ocupación × precio medio por plaza sin IVA. 4,33 son las semanas de un mes medio (52 ÷ 12).</t>
        </is>
      </c>
    </row>
    <row r="6" ht="30" customHeight="1">
      <c r="A6" s="2" t="inlineStr">
        <is>
          <t>Los números que trae son un EJEMPLO para ver cómo funciona, no una recomendación ni la media del sector. Sustitúyelos por los tuyos.</t>
        </is>
      </c>
    </row>
    <row r="7" ht="30" customHeight="1">
      <c r="A7" s="2" t="inlineStr">
        <is>
          <t>Todos los importes van SIN IVA. Si tus precios publicados llevan IVA, divídelos entre 1,21 antes de ponerlos (el IVA de una clase en un estudio privado es el 21 %).</t>
        </is>
      </c>
    </row>
    <row r="8" ht="30" customHeight="1">
      <c r="A8" s="2" t="inlineStr">
        <is>
          <t>No es asesoramiento fiscal ni financiero: para impuestos, amortizaciones o una financiación, consúltalo con tu asesoría.</t>
        </is>
      </c>
    </row>
    <row r="10">
      <c r="A10" s="3" t="inlineStr">
        <is>
          <t>Cómo leer los colores</t>
        </is>
      </c>
    </row>
    <row r="11" ht="30" customHeight="1">
      <c r="A11" s="4" t="inlineStr">
        <is>
          <t>Celda crema con letra azul: la rellenas tú con tus números.</t>
        </is>
      </c>
    </row>
    <row r="12" ht="30" customHeight="1">
      <c r="A12" s="5" t="inlineStr">
        <is>
          <t>Celda gris: es una fórmula. No escribas encima: si lo haces, borras la fórmula y la hoja deja de cuadrar.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70" customWidth="1" min="3" max="3"/>
  </cols>
  <sheetData>
    <row r="1">
      <c r="A1" s="1" t="inlineStr">
        <is>
          <t>Supuestos: tus números</t>
        </is>
      </c>
    </row>
    <row r="3">
      <c r="A3" s="6" t="inlineStr">
        <is>
          <t>Concepto</t>
        </is>
      </c>
      <c r="B3" s="6" t="inlineStr">
        <is>
          <t>Tu valor</t>
        </is>
      </c>
      <c r="C3" s="6" t="inlineStr">
        <is>
          <t>Qué poner</t>
        </is>
      </c>
    </row>
    <row r="4" ht="28" customHeight="1">
      <c r="A4" s="7" t="inlineStr">
        <is>
          <t>Plazas por clase (aforo)</t>
        </is>
      </c>
      <c r="B4" s="8" t="n">
        <v>8</v>
      </c>
      <c r="C4" s="9" t="inlineStr">
        <is>
          <t>Las camas o plazas de una clase. Si varía, pon la media.</t>
        </is>
      </c>
    </row>
    <row r="5" ht="28" customHeight="1">
      <c r="A5" s="7" t="inlineStr">
        <is>
          <t>Clases a la semana</t>
        </is>
      </c>
      <c r="B5" s="8" t="n">
        <v>30</v>
      </c>
      <c r="C5" s="9" t="inlineStr">
        <is>
          <t>Todas las clases que das en la semana, de todos los tipos.</t>
        </is>
      </c>
    </row>
    <row r="6" ht="28" customHeight="1">
      <c r="A6" s="7" t="inlineStr">
        <is>
          <t>Ocupación del primer mes</t>
        </is>
      </c>
      <c r="B6" s="10" t="n">
        <v>0.45</v>
      </c>
      <c r="C6" s="9" t="inlineStr">
        <is>
          <t>Qué parte de las plazas se llena el primer mes (0,45 = 45 %).</t>
        </is>
      </c>
    </row>
    <row r="7" ht="28" customHeight="1">
      <c r="A7" s="7" t="inlineStr">
        <is>
          <t>Cuánto sube la ocupación cada mes (puntos)</t>
        </is>
      </c>
      <c r="B7" s="10" t="n">
        <v>0.03</v>
      </c>
      <c r="C7" s="9" t="inlineStr">
        <is>
          <t>Puntos de ocupación que ganas cada mes (0,03 = 3 puntos).</t>
        </is>
      </c>
    </row>
    <row r="8" ht="28" customHeight="1">
      <c r="A8" s="7" t="inlineStr">
        <is>
          <t>Ocupación máxima que esperas</t>
        </is>
      </c>
      <c r="B8" s="10" t="n">
        <v>0.8</v>
      </c>
      <c r="C8" s="9" t="inlineStr">
        <is>
          <t>El techo realista de tu estudio. Más de 85 % cuesta sostenerlo.</t>
        </is>
      </c>
    </row>
    <row r="9" ht="28" customHeight="1">
      <c r="A9" s="7" t="inlineStr">
        <is>
          <t>Precio medio por plaza, SIN IVA (€)</t>
        </is>
      </c>
      <c r="B9" s="11" t="n">
        <v>17</v>
      </c>
      <c r="C9" s="9" t="inlineStr">
        <is>
          <t>Lo que ingresas de media por una plaza ocupada, quitado el IVA.</t>
        </is>
      </c>
    </row>
    <row r="10" ht="28" customHeight="1">
      <c r="A10" s="7" t="inlineStr">
        <is>
          <t>Comisión de cobro (%)</t>
        </is>
      </c>
      <c r="B10" s="10" t="n">
        <v>0.015</v>
      </c>
      <c r="C10" s="9" t="inlineStr">
        <is>
          <t>Lo que se come el cobro con tarjeta o domiciliación (pon 0 si no hay).</t>
        </is>
      </c>
    </row>
    <row r="11" ht="28" customHeight="1">
      <c r="A11" s="7" t="inlineStr">
        <is>
          <t>Coste de la instructora por clase (€)</t>
        </is>
      </c>
      <c r="B11" s="11" t="n">
        <v>22</v>
      </c>
      <c r="C11" s="9" t="inlineStr">
        <is>
          <t>Lo que te cuesta una clase en instructora, con su Seguridad Social.</t>
        </is>
      </c>
    </row>
    <row r="12" ht="28" customHeight="1">
      <c r="A12" s="7" t="inlineStr">
        <is>
          <t>Alquiler del local al mes (€)</t>
        </is>
      </c>
      <c r="B12" s="11" t="n">
        <v>1800</v>
      </c>
      <c r="C12" s="9" t="inlineStr">
        <is>
          <t>Sin IVA.</t>
        </is>
      </c>
    </row>
    <row r="13" ht="28" customHeight="1">
      <c r="A13" s="7" t="inlineStr">
        <is>
          <t>Suministros y gastos generales al mes (€)</t>
        </is>
      </c>
      <c r="B13" s="11" t="n">
        <v>350</v>
      </c>
      <c r="C13" s="9" t="inlineStr">
        <is>
          <t>Luz, agua, limpieza, internet…</t>
        </is>
      </c>
    </row>
    <row r="14" ht="28" customHeight="1">
      <c r="A14" s="7" t="inlineStr">
        <is>
          <t>Software, seguros y asesoría al mes (€)</t>
        </is>
      </c>
      <c r="B14" s="11" t="n">
        <v>300</v>
      </c>
      <c r="C14" s="9" t="inlineStr">
        <is>
          <t>Programa de reservas, seguro de responsabilidad, gestoría.</t>
        </is>
      </c>
    </row>
    <row r="15" ht="28" customHeight="1">
      <c r="A15" s="7" t="inlineStr">
        <is>
          <t>Marketing al mes (€)</t>
        </is>
      </c>
      <c r="B15" s="11" t="n">
        <v>250</v>
      </c>
      <c r="C15" s="9" t="inlineStr">
        <is>
          <t>Anuncios, redes, material.</t>
        </is>
      </c>
    </row>
    <row r="16" ht="28" customHeight="1">
      <c r="A16" s="7" t="inlineStr">
        <is>
          <t>Reserva para máquinas y reposición al mes (€)</t>
        </is>
      </c>
      <c r="B16" s="11" t="n">
        <v>200</v>
      </c>
      <c r="C16" s="9" t="inlineStr">
        <is>
          <t>Lo que apartas cada mes para mantener y reponer máquinas.</t>
        </is>
      </c>
    </row>
    <row r="17" ht="28" customHeight="1">
      <c r="A17" s="7" t="inlineStr">
        <is>
          <t>Lo que quieres sacar tú al mes (€)</t>
        </is>
      </c>
      <c r="B17" s="11" t="n">
        <v>1800</v>
      </c>
      <c r="C17" s="9" t="inlineStr">
        <is>
          <t>Tu sueldo objetivo. Si dejas 0, el modelo solo mira si cubres costes.</t>
        </is>
      </c>
    </row>
    <row r="18" ht="28" customHeight="1">
      <c r="A18" s="7" t="inlineStr">
        <is>
          <t>Inversión inicial por recuperar (€)</t>
        </is>
      </c>
      <c r="B18" s="12" t="n">
        <v>30000</v>
      </c>
      <c r="C18" s="9" t="inlineStr">
        <is>
          <t>Opcional: máquinas, obra, fianza. Pon 0 si no aplica.</t>
        </is>
      </c>
    </row>
    <row r="20">
      <c r="A20" s="9" t="inlineStr">
        <is>
          <t>Semanas de un mes medio (fijo)</t>
        </is>
      </c>
      <c r="B20" s="13" t="n">
        <v>4.33</v>
      </c>
      <c r="C20" s="9" t="inlineStr">
        <is>
          <t>52 ÷ 12 = 4,33. No lo cambies.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Tu año, mes a mes (todo sin IVA)</t>
        </is>
      </c>
    </row>
    <row r="3">
      <c r="A3" s="6" t="inlineStr">
        <is>
          <t>Concepto</t>
        </is>
      </c>
      <c r="B3" s="6" t="inlineStr">
        <is>
          <t>Mes 1</t>
        </is>
      </c>
      <c r="C3" s="6" t="inlineStr">
        <is>
          <t>Mes 2</t>
        </is>
      </c>
      <c r="D3" s="6" t="inlineStr">
        <is>
          <t>Mes 3</t>
        </is>
      </c>
      <c r="E3" s="6" t="inlineStr">
        <is>
          <t>Mes 4</t>
        </is>
      </c>
      <c r="F3" s="6" t="inlineStr">
        <is>
          <t>Mes 5</t>
        </is>
      </c>
      <c r="G3" s="6" t="inlineStr">
        <is>
          <t>Mes 6</t>
        </is>
      </c>
      <c r="H3" s="6" t="inlineStr">
        <is>
          <t>Mes 7</t>
        </is>
      </c>
      <c r="I3" s="6" t="inlineStr">
        <is>
          <t>Mes 8</t>
        </is>
      </c>
      <c r="J3" s="6" t="inlineStr">
        <is>
          <t>Mes 9</t>
        </is>
      </c>
      <c r="K3" s="6" t="inlineStr">
        <is>
          <t>Mes 10</t>
        </is>
      </c>
      <c r="L3" s="6" t="inlineStr">
        <is>
          <t>Mes 11</t>
        </is>
      </c>
      <c r="M3" s="6" t="inlineStr">
        <is>
          <t>Mes 12</t>
        </is>
      </c>
      <c r="N3" s="6" t="inlineStr">
        <is>
          <t>Total año</t>
        </is>
      </c>
    </row>
    <row r="4">
      <c r="A4" s="7" t="inlineStr">
        <is>
          <t>Mes</t>
        </is>
      </c>
      <c r="B4" s="14" t="n">
        <v>1</v>
      </c>
      <c r="C4" s="14" t="n">
        <v>2</v>
      </c>
      <c r="D4" s="14" t="n">
        <v>3</v>
      </c>
      <c r="E4" s="14" t="n">
        <v>4</v>
      </c>
      <c r="F4" s="14" t="n">
        <v>5</v>
      </c>
      <c r="G4" s="14" t="n">
        <v>6</v>
      </c>
      <c r="H4" s="14" t="n">
        <v>7</v>
      </c>
      <c r="I4" s="14" t="n">
        <v>8</v>
      </c>
      <c r="J4" s="14" t="n">
        <v>9</v>
      </c>
      <c r="K4" s="14" t="n">
        <v>10</v>
      </c>
      <c r="L4" s="14" t="n">
        <v>11</v>
      </c>
      <c r="M4" s="14" t="n">
        <v>12</v>
      </c>
      <c r="N4" s="15" t="n"/>
    </row>
    <row r="5">
      <c r="A5" s="7" t="inlineStr">
        <is>
          <t>Ocupación</t>
        </is>
      </c>
      <c r="B5" s="16">
        <f>MIN(Supuestos!$B$8,Supuestos!$B$6+(B4-1)*Supuestos!$B$7)</f>
        <v/>
      </c>
      <c r="C5" s="16">
        <f>MIN(Supuestos!$B$8,Supuestos!$B$6+(C4-1)*Supuestos!$B$7)</f>
        <v/>
      </c>
      <c r="D5" s="16">
        <f>MIN(Supuestos!$B$8,Supuestos!$B$6+(D4-1)*Supuestos!$B$7)</f>
        <v/>
      </c>
      <c r="E5" s="16">
        <f>MIN(Supuestos!$B$8,Supuestos!$B$6+(E4-1)*Supuestos!$B$7)</f>
        <v/>
      </c>
      <c r="F5" s="16">
        <f>MIN(Supuestos!$B$8,Supuestos!$B$6+(F4-1)*Supuestos!$B$7)</f>
        <v/>
      </c>
      <c r="G5" s="16">
        <f>MIN(Supuestos!$B$8,Supuestos!$B$6+(G4-1)*Supuestos!$B$7)</f>
        <v/>
      </c>
      <c r="H5" s="16">
        <f>MIN(Supuestos!$B$8,Supuestos!$B$6+(H4-1)*Supuestos!$B$7)</f>
        <v/>
      </c>
      <c r="I5" s="16">
        <f>MIN(Supuestos!$B$8,Supuestos!$B$6+(I4-1)*Supuestos!$B$7)</f>
        <v/>
      </c>
      <c r="J5" s="16">
        <f>MIN(Supuestos!$B$8,Supuestos!$B$6+(J4-1)*Supuestos!$B$7)</f>
        <v/>
      </c>
      <c r="K5" s="16">
        <f>MIN(Supuestos!$B$8,Supuestos!$B$6+(K4-1)*Supuestos!$B$7)</f>
        <v/>
      </c>
      <c r="L5" s="16">
        <f>MIN(Supuestos!$B$8,Supuestos!$B$6+(L4-1)*Supuestos!$B$7)</f>
        <v/>
      </c>
      <c r="M5" s="16">
        <f>MIN(Supuestos!$B$8,Supuestos!$B$6+(M4-1)*Supuestos!$B$7)</f>
        <v/>
      </c>
      <c r="N5" s="15" t="n"/>
    </row>
    <row r="6">
      <c r="A6" s="7" t="inlineStr">
        <is>
          <t>Plazas ofrecidas</t>
        </is>
      </c>
      <c r="B6" s="17">
        <f>Supuestos!$B$4*Supuestos!$B$5*Supuestos!$B$20</f>
        <v/>
      </c>
      <c r="C6" s="17">
        <f>Supuestos!$B$4*Supuestos!$B$5*Supuestos!$B$20</f>
        <v/>
      </c>
      <c r="D6" s="17">
        <f>Supuestos!$B$4*Supuestos!$B$5*Supuestos!$B$20</f>
        <v/>
      </c>
      <c r="E6" s="17">
        <f>Supuestos!$B$4*Supuestos!$B$5*Supuestos!$B$20</f>
        <v/>
      </c>
      <c r="F6" s="17">
        <f>Supuestos!$B$4*Supuestos!$B$5*Supuestos!$B$20</f>
        <v/>
      </c>
      <c r="G6" s="17">
        <f>Supuestos!$B$4*Supuestos!$B$5*Supuestos!$B$20</f>
        <v/>
      </c>
      <c r="H6" s="17">
        <f>Supuestos!$B$4*Supuestos!$B$5*Supuestos!$B$20</f>
        <v/>
      </c>
      <c r="I6" s="17">
        <f>Supuestos!$B$4*Supuestos!$B$5*Supuestos!$B$20</f>
        <v/>
      </c>
      <c r="J6" s="17">
        <f>Supuestos!$B$4*Supuestos!$B$5*Supuestos!$B$20</f>
        <v/>
      </c>
      <c r="K6" s="17">
        <f>Supuestos!$B$4*Supuestos!$B$5*Supuestos!$B$20</f>
        <v/>
      </c>
      <c r="L6" s="17">
        <f>Supuestos!$B$4*Supuestos!$B$5*Supuestos!$B$20</f>
        <v/>
      </c>
      <c r="M6" s="17">
        <f>Supuestos!$B$4*Supuestos!$B$5*Supuestos!$B$20</f>
        <v/>
      </c>
      <c r="N6" s="18">
        <f>SUM(B6:M6)</f>
        <v/>
      </c>
    </row>
    <row r="7">
      <c r="A7" s="7" t="inlineStr">
        <is>
          <t>Plazas ocupadas</t>
        </is>
      </c>
      <c r="B7" s="17">
        <f>B6*B5</f>
        <v/>
      </c>
      <c r="C7" s="17">
        <f>C6*C5</f>
        <v/>
      </c>
      <c r="D7" s="17">
        <f>D6*D5</f>
        <v/>
      </c>
      <c r="E7" s="17">
        <f>E6*E5</f>
        <v/>
      </c>
      <c r="F7" s="17">
        <f>F6*F5</f>
        <v/>
      </c>
      <c r="G7" s="17">
        <f>G6*G5</f>
        <v/>
      </c>
      <c r="H7" s="17">
        <f>H6*H5</f>
        <v/>
      </c>
      <c r="I7" s="17">
        <f>I6*I5</f>
        <v/>
      </c>
      <c r="J7" s="17">
        <f>J6*J5</f>
        <v/>
      </c>
      <c r="K7" s="17">
        <f>K6*K5</f>
        <v/>
      </c>
      <c r="L7" s="17">
        <f>L6*L5</f>
        <v/>
      </c>
      <c r="M7" s="17">
        <f>M6*M5</f>
        <v/>
      </c>
      <c r="N7" s="18">
        <f>SUM(B7:M7)</f>
        <v/>
      </c>
    </row>
    <row r="8">
      <c r="A8" s="7" t="inlineStr">
        <is>
          <t>Ingresos</t>
        </is>
      </c>
      <c r="B8" s="19">
        <f>B7*Supuestos!$B$9</f>
        <v/>
      </c>
      <c r="C8" s="19">
        <f>C7*Supuestos!$B$9</f>
        <v/>
      </c>
      <c r="D8" s="19">
        <f>D7*Supuestos!$B$9</f>
        <v/>
      </c>
      <c r="E8" s="19">
        <f>E7*Supuestos!$B$9</f>
        <v/>
      </c>
      <c r="F8" s="19">
        <f>F7*Supuestos!$B$9</f>
        <v/>
      </c>
      <c r="G8" s="19">
        <f>G7*Supuestos!$B$9</f>
        <v/>
      </c>
      <c r="H8" s="19">
        <f>H7*Supuestos!$B$9</f>
        <v/>
      </c>
      <c r="I8" s="19">
        <f>I7*Supuestos!$B$9</f>
        <v/>
      </c>
      <c r="J8" s="19">
        <f>J7*Supuestos!$B$9</f>
        <v/>
      </c>
      <c r="K8" s="19">
        <f>K7*Supuestos!$B$9</f>
        <v/>
      </c>
      <c r="L8" s="19">
        <f>L7*Supuestos!$B$9</f>
        <v/>
      </c>
      <c r="M8" s="19">
        <f>M7*Supuestos!$B$9</f>
        <v/>
      </c>
      <c r="N8" s="20">
        <f>SUM(B8:M8)</f>
        <v/>
      </c>
    </row>
    <row r="9">
      <c r="A9" s="7" t="inlineStr">
        <is>
          <t>Comisiones de cobro</t>
        </is>
      </c>
      <c r="B9" s="19">
        <f>B8*Supuestos!$B$10</f>
        <v/>
      </c>
      <c r="C9" s="19">
        <f>C8*Supuestos!$B$10</f>
        <v/>
      </c>
      <c r="D9" s="19">
        <f>D8*Supuestos!$B$10</f>
        <v/>
      </c>
      <c r="E9" s="19">
        <f>E8*Supuestos!$B$10</f>
        <v/>
      </c>
      <c r="F9" s="19">
        <f>F8*Supuestos!$B$10</f>
        <v/>
      </c>
      <c r="G9" s="19">
        <f>G8*Supuestos!$B$10</f>
        <v/>
      </c>
      <c r="H9" s="19">
        <f>H8*Supuestos!$B$10</f>
        <v/>
      </c>
      <c r="I9" s="19">
        <f>I8*Supuestos!$B$10</f>
        <v/>
      </c>
      <c r="J9" s="19">
        <f>J8*Supuestos!$B$10</f>
        <v/>
      </c>
      <c r="K9" s="19">
        <f>K8*Supuestos!$B$10</f>
        <v/>
      </c>
      <c r="L9" s="19">
        <f>L8*Supuestos!$B$10</f>
        <v/>
      </c>
      <c r="M9" s="19">
        <f>M8*Supuestos!$B$10</f>
        <v/>
      </c>
      <c r="N9" s="20">
        <f>SUM(B9:M9)</f>
        <v/>
      </c>
    </row>
    <row r="10">
      <c r="A10" s="7" t="inlineStr">
        <is>
          <t>Instructoras</t>
        </is>
      </c>
      <c r="B10" s="19">
        <f>Supuestos!$B$11*Supuestos!$B$5*Supuestos!$B$20</f>
        <v/>
      </c>
      <c r="C10" s="19">
        <f>Supuestos!$B$11*Supuestos!$B$5*Supuestos!$B$20</f>
        <v/>
      </c>
      <c r="D10" s="19">
        <f>Supuestos!$B$11*Supuestos!$B$5*Supuestos!$B$20</f>
        <v/>
      </c>
      <c r="E10" s="19">
        <f>Supuestos!$B$11*Supuestos!$B$5*Supuestos!$B$20</f>
        <v/>
      </c>
      <c r="F10" s="19">
        <f>Supuestos!$B$11*Supuestos!$B$5*Supuestos!$B$20</f>
        <v/>
      </c>
      <c r="G10" s="19">
        <f>Supuestos!$B$11*Supuestos!$B$5*Supuestos!$B$20</f>
        <v/>
      </c>
      <c r="H10" s="19">
        <f>Supuestos!$B$11*Supuestos!$B$5*Supuestos!$B$20</f>
        <v/>
      </c>
      <c r="I10" s="19">
        <f>Supuestos!$B$11*Supuestos!$B$5*Supuestos!$B$20</f>
        <v/>
      </c>
      <c r="J10" s="19">
        <f>Supuestos!$B$11*Supuestos!$B$5*Supuestos!$B$20</f>
        <v/>
      </c>
      <c r="K10" s="19">
        <f>Supuestos!$B$11*Supuestos!$B$5*Supuestos!$B$20</f>
        <v/>
      </c>
      <c r="L10" s="19">
        <f>Supuestos!$B$11*Supuestos!$B$5*Supuestos!$B$20</f>
        <v/>
      </c>
      <c r="M10" s="19">
        <f>Supuestos!$B$11*Supuestos!$B$5*Supuestos!$B$20</f>
        <v/>
      </c>
      <c r="N10" s="20">
        <f>SUM(B10:M10)</f>
        <v/>
      </c>
    </row>
    <row r="11">
      <c r="A11" s="7" t="inlineStr">
        <is>
          <t>Costes fijos (local, gastos, software, marketing, reserva)</t>
        </is>
      </c>
      <c r="B11" s="19">
        <f>Supuestos!$B$12+Supuestos!$B$13+Supuestos!$B$14+Supuestos!$B$15+Supuestos!$B$16</f>
        <v/>
      </c>
      <c r="C11" s="19">
        <f>Supuestos!$B$12+Supuestos!$B$13+Supuestos!$B$14+Supuestos!$B$15+Supuestos!$B$16</f>
        <v/>
      </c>
      <c r="D11" s="19">
        <f>Supuestos!$B$12+Supuestos!$B$13+Supuestos!$B$14+Supuestos!$B$15+Supuestos!$B$16</f>
        <v/>
      </c>
      <c r="E11" s="19">
        <f>Supuestos!$B$12+Supuestos!$B$13+Supuestos!$B$14+Supuestos!$B$15+Supuestos!$B$16</f>
        <v/>
      </c>
      <c r="F11" s="19">
        <f>Supuestos!$B$12+Supuestos!$B$13+Supuestos!$B$14+Supuestos!$B$15+Supuestos!$B$16</f>
        <v/>
      </c>
      <c r="G11" s="19">
        <f>Supuestos!$B$12+Supuestos!$B$13+Supuestos!$B$14+Supuestos!$B$15+Supuestos!$B$16</f>
        <v/>
      </c>
      <c r="H11" s="19">
        <f>Supuestos!$B$12+Supuestos!$B$13+Supuestos!$B$14+Supuestos!$B$15+Supuestos!$B$16</f>
        <v/>
      </c>
      <c r="I11" s="19">
        <f>Supuestos!$B$12+Supuestos!$B$13+Supuestos!$B$14+Supuestos!$B$15+Supuestos!$B$16</f>
        <v/>
      </c>
      <c r="J11" s="19">
        <f>Supuestos!$B$12+Supuestos!$B$13+Supuestos!$B$14+Supuestos!$B$15+Supuestos!$B$16</f>
        <v/>
      </c>
      <c r="K11" s="19">
        <f>Supuestos!$B$12+Supuestos!$B$13+Supuestos!$B$14+Supuestos!$B$15+Supuestos!$B$16</f>
        <v/>
      </c>
      <c r="L11" s="19">
        <f>Supuestos!$B$12+Supuestos!$B$13+Supuestos!$B$14+Supuestos!$B$15+Supuestos!$B$16</f>
        <v/>
      </c>
      <c r="M11" s="19">
        <f>Supuestos!$B$12+Supuestos!$B$13+Supuestos!$B$14+Supuestos!$B$15+Supuestos!$B$16</f>
        <v/>
      </c>
      <c r="N11" s="20">
        <f>SUM(B11:M11)</f>
        <v/>
      </c>
    </row>
    <row r="12">
      <c r="A12" s="21" t="inlineStr">
        <is>
          <t>Resultado antes de ti</t>
        </is>
      </c>
      <c r="B12" s="20">
        <f>B8-B9-B10-B11</f>
        <v/>
      </c>
      <c r="C12" s="20">
        <f>C8-C9-C10-C11</f>
        <v/>
      </c>
      <c r="D12" s="20">
        <f>D8-D9-D10-D11</f>
        <v/>
      </c>
      <c r="E12" s="20">
        <f>E8-E9-E10-E11</f>
        <v/>
      </c>
      <c r="F12" s="20">
        <f>F8-F9-F10-F11</f>
        <v/>
      </c>
      <c r="G12" s="20">
        <f>G8-G9-G10-G11</f>
        <v/>
      </c>
      <c r="H12" s="20">
        <f>H8-H9-H10-H11</f>
        <v/>
      </c>
      <c r="I12" s="20">
        <f>I8-I9-I10-I11</f>
        <v/>
      </c>
      <c r="J12" s="20">
        <f>J8-J9-J10-J11</f>
        <v/>
      </c>
      <c r="K12" s="20">
        <f>K8-K9-K10-K11</f>
        <v/>
      </c>
      <c r="L12" s="20">
        <f>L8-L9-L10-L11</f>
        <v/>
      </c>
      <c r="M12" s="20">
        <f>M8-M9-M10-M11</f>
        <v/>
      </c>
      <c r="N12" s="20">
        <f>SUM(B12:M12)</f>
        <v/>
      </c>
    </row>
    <row r="13">
      <c r="A13" s="7" t="inlineStr">
        <is>
          <t>Tu sueldo objetivo</t>
        </is>
      </c>
      <c r="B13" s="19">
        <f>Supuestos!$B$17</f>
        <v/>
      </c>
      <c r="C13" s="19">
        <f>Supuestos!$B$17</f>
        <v/>
      </c>
      <c r="D13" s="19">
        <f>Supuestos!$B$17</f>
        <v/>
      </c>
      <c r="E13" s="19">
        <f>Supuestos!$B$17</f>
        <v/>
      </c>
      <c r="F13" s="19">
        <f>Supuestos!$B$17</f>
        <v/>
      </c>
      <c r="G13" s="19">
        <f>Supuestos!$B$17</f>
        <v/>
      </c>
      <c r="H13" s="19">
        <f>Supuestos!$B$17</f>
        <v/>
      </c>
      <c r="I13" s="19">
        <f>Supuestos!$B$17</f>
        <v/>
      </c>
      <c r="J13" s="19">
        <f>Supuestos!$B$17</f>
        <v/>
      </c>
      <c r="K13" s="19">
        <f>Supuestos!$B$17</f>
        <v/>
      </c>
      <c r="L13" s="19">
        <f>Supuestos!$B$17</f>
        <v/>
      </c>
      <c r="M13" s="19">
        <f>Supuestos!$B$17</f>
        <v/>
      </c>
      <c r="N13" s="20">
        <f>SUM(B13:M13)</f>
        <v/>
      </c>
    </row>
    <row r="14">
      <c r="A14" s="21" t="inlineStr">
        <is>
          <t>Resultado después de tu sueldo</t>
        </is>
      </c>
      <c r="B14" s="20">
        <f>B12-B13</f>
        <v/>
      </c>
      <c r="C14" s="20">
        <f>C12-C13</f>
        <v/>
      </c>
      <c r="D14" s="20">
        <f>D12-D13</f>
        <v/>
      </c>
      <c r="E14" s="20">
        <f>E12-E13</f>
        <v/>
      </c>
      <c r="F14" s="20">
        <f>F12-F13</f>
        <v/>
      </c>
      <c r="G14" s="20">
        <f>G12-G13</f>
        <v/>
      </c>
      <c r="H14" s="20">
        <f>H12-H13</f>
        <v/>
      </c>
      <c r="I14" s="20">
        <f>I12-I13</f>
        <v/>
      </c>
      <c r="J14" s="20">
        <f>J12-J13</f>
        <v/>
      </c>
      <c r="K14" s="20">
        <f>K12-K13</f>
        <v/>
      </c>
      <c r="L14" s="20">
        <f>L12-L13</f>
        <v/>
      </c>
      <c r="M14" s="20">
        <f>M12-M13</f>
        <v/>
      </c>
      <c r="N14" s="20">
        <f>SUM(B14:M14)</f>
        <v/>
      </c>
    </row>
    <row r="15">
      <c r="A15" s="7" t="inlineStr">
        <is>
          <t>Acumulado antes de ti</t>
        </is>
      </c>
      <c r="B15" s="19">
        <f>B12</f>
        <v/>
      </c>
      <c r="C15" s="19">
        <f>B15+C12</f>
        <v/>
      </c>
      <c r="D15" s="19">
        <f>C15+D12</f>
        <v/>
      </c>
      <c r="E15" s="19">
        <f>D15+E12</f>
        <v/>
      </c>
      <c r="F15" s="19">
        <f>E15+F12</f>
        <v/>
      </c>
      <c r="G15" s="19">
        <f>F15+G12</f>
        <v/>
      </c>
      <c r="H15" s="19">
        <f>G15+H12</f>
        <v/>
      </c>
      <c r="I15" s="19">
        <f>H15+I12</f>
        <v/>
      </c>
      <c r="J15" s="19">
        <f>I15+J12</f>
        <v/>
      </c>
      <c r="K15" s="19">
        <f>J15+K12</f>
        <v/>
      </c>
      <c r="L15" s="19">
        <f>K15+L12</f>
        <v/>
      </c>
      <c r="M15" s="19">
        <f>L15+M12</f>
        <v/>
      </c>
      <c r="N15" s="15" t="n"/>
    </row>
    <row r="16">
      <c r="A16" s="7" t="inlineStr">
        <is>
          <t>Acumulado después de tu sueldo</t>
        </is>
      </c>
      <c r="B16" s="19">
        <f>B14</f>
        <v/>
      </c>
      <c r="C16" s="19">
        <f>B16+C14</f>
        <v/>
      </c>
      <c r="D16" s="19">
        <f>C16+D14</f>
        <v/>
      </c>
      <c r="E16" s="19">
        <f>D16+E14</f>
        <v/>
      </c>
      <c r="F16" s="19">
        <f>E16+F14</f>
        <v/>
      </c>
      <c r="G16" s="19">
        <f>F16+G14</f>
        <v/>
      </c>
      <c r="H16" s="19">
        <f>G16+H14</f>
        <v/>
      </c>
      <c r="I16" s="19">
        <f>H16+I14</f>
        <v/>
      </c>
      <c r="J16" s="19">
        <f>I16+J14</f>
        <v/>
      </c>
      <c r="K16" s="19">
        <f>J16+K14</f>
        <v/>
      </c>
      <c r="L16" s="19">
        <f>K16+L14</f>
        <v/>
      </c>
      <c r="M16" s="19">
        <f>L16+M14</f>
        <v/>
      </c>
      <c r="N16" s="15" t="n"/>
    </row>
    <row r="17">
      <c r="A17" s="7" t="inlineStr">
        <is>
          <t>¿Cubre costes?</t>
        </is>
      </c>
      <c r="B17" s="15">
        <f>IF(B12&gt;=0,"Sí","No")</f>
        <v/>
      </c>
      <c r="C17" s="15">
        <f>IF(C12&gt;=0,"Sí","No")</f>
        <v/>
      </c>
      <c r="D17" s="15">
        <f>IF(D12&gt;=0,"Sí","No")</f>
        <v/>
      </c>
      <c r="E17" s="15">
        <f>IF(E12&gt;=0,"Sí","No")</f>
        <v/>
      </c>
      <c r="F17" s="15">
        <f>IF(F12&gt;=0,"Sí","No")</f>
        <v/>
      </c>
      <c r="G17" s="15">
        <f>IF(G12&gt;=0,"Sí","No")</f>
        <v/>
      </c>
      <c r="H17" s="15">
        <f>IF(H12&gt;=0,"Sí","No")</f>
        <v/>
      </c>
      <c r="I17" s="15">
        <f>IF(I12&gt;=0,"Sí","No")</f>
        <v/>
      </c>
      <c r="J17" s="15">
        <f>IF(J12&gt;=0,"Sí","No")</f>
        <v/>
      </c>
      <c r="K17" s="15">
        <f>IF(K12&gt;=0,"Sí","No")</f>
        <v/>
      </c>
      <c r="L17" s="15">
        <f>IF(L12&gt;=0,"Sí","No")</f>
        <v/>
      </c>
      <c r="M17" s="15">
        <f>IF(M12&gt;=0,"Sí","No")</f>
        <v/>
      </c>
      <c r="N17" s="15" t="n"/>
    </row>
    <row r="18">
      <c r="A18" s="7" t="inlineStr">
        <is>
          <t>¿Cubre costes y tu sueldo?</t>
        </is>
      </c>
      <c r="B18" s="15">
        <f>IF(B14&gt;=0,"Sí","No")</f>
        <v/>
      </c>
      <c r="C18" s="15">
        <f>IF(C14&gt;=0,"Sí","No")</f>
        <v/>
      </c>
      <c r="D18" s="15">
        <f>IF(D14&gt;=0,"Sí","No")</f>
        <v/>
      </c>
      <c r="E18" s="15">
        <f>IF(E14&gt;=0,"Sí","No")</f>
        <v/>
      </c>
      <c r="F18" s="15">
        <f>IF(F14&gt;=0,"Sí","No")</f>
        <v/>
      </c>
      <c r="G18" s="15">
        <f>IF(G14&gt;=0,"Sí","No")</f>
        <v/>
      </c>
      <c r="H18" s="15">
        <f>IF(H14&gt;=0,"Sí","No")</f>
        <v/>
      </c>
      <c r="I18" s="15">
        <f>IF(I14&gt;=0,"Sí","No")</f>
        <v/>
      </c>
      <c r="J18" s="15">
        <f>IF(J14&gt;=0,"Sí","No")</f>
        <v/>
      </c>
      <c r="K18" s="15">
        <f>IF(K14&gt;=0,"Sí","No")</f>
        <v/>
      </c>
      <c r="L18" s="15">
        <f>IF(L14&gt;=0,"Sí","No")</f>
        <v/>
      </c>
      <c r="M18" s="15">
        <f>IF(M14&gt;=0,"Sí","No")</f>
        <v/>
      </c>
      <c r="N18" s="15" t="n"/>
    </row>
    <row r="19">
      <c r="A19" s="7" t="inlineStr">
        <is>
          <t>Inversión recuperada (1 = sí)</t>
        </is>
      </c>
      <c r="B19" s="14">
        <f>IF(B16&gt;=Supuestos!$B$18,1,0)</f>
        <v/>
      </c>
      <c r="C19" s="14">
        <f>IF(C16&gt;=Supuestos!$B$18,1,0)</f>
        <v/>
      </c>
      <c r="D19" s="14">
        <f>IF(D16&gt;=Supuestos!$B$18,1,0)</f>
        <v/>
      </c>
      <c r="E19" s="14">
        <f>IF(E16&gt;=Supuestos!$B$18,1,0)</f>
        <v/>
      </c>
      <c r="F19" s="14">
        <f>IF(F16&gt;=Supuestos!$B$18,1,0)</f>
        <v/>
      </c>
      <c r="G19" s="14">
        <f>IF(G16&gt;=Supuestos!$B$18,1,0)</f>
        <v/>
      </c>
      <c r="H19" s="14">
        <f>IF(H16&gt;=Supuestos!$B$18,1,0)</f>
        <v/>
      </c>
      <c r="I19" s="14">
        <f>IF(I16&gt;=Supuestos!$B$18,1,0)</f>
        <v/>
      </c>
      <c r="J19" s="14">
        <f>IF(J16&gt;=Supuestos!$B$18,1,0)</f>
        <v/>
      </c>
      <c r="K19" s="14">
        <f>IF(K16&gt;=Supuestos!$B$18,1,0)</f>
        <v/>
      </c>
      <c r="L19" s="14">
        <f>IF(L16&gt;=Supuestos!$B$18,1,0)</f>
        <v/>
      </c>
      <c r="M19" s="14">
        <f>IF(M16&gt;=Supuestos!$B$18,1,0)</f>
        <v/>
      </c>
      <c r="N19" s="15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2" customWidth="1" min="3" max="3"/>
  </cols>
  <sheetData>
    <row r="1">
      <c r="A1" s="1" t="inlineStr">
        <is>
          <t>¿Qué ocupación necesitas?</t>
        </is>
      </c>
    </row>
    <row r="3">
      <c r="A3" s="6" t="inlineStr">
        <is>
          <t>Cuenta</t>
        </is>
      </c>
      <c r="B3" s="6" t="inlineStr">
        <is>
          <t>Resultado</t>
        </is>
      </c>
      <c r="C3" s="6" t="inlineStr">
        <is>
          <t>Cómo se calcula</t>
        </is>
      </c>
    </row>
    <row r="4" ht="30" customHeight="1">
      <c r="A4" s="7" t="inlineStr">
        <is>
          <t>Plazas ofrecidas al mes</t>
        </is>
      </c>
      <c r="B4" s="17">
        <f>Supuestos!$B$4*Supuestos!$B$5*Supuestos!$B$20</f>
        <v/>
      </c>
      <c r="C4" s="9" t="inlineStr">
        <is>
          <t>Plazas por clase × clases a la semana × 4,33.</t>
        </is>
      </c>
    </row>
    <row r="5" ht="30" customHeight="1">
      <c r="A5" s="7" t="inlineStr">
        <is>
          <t>Lo que deja cada plaza (€)</t>
        </is>
      </c>
      <c r="B5" s="22">
        <f>Supuestos!$B$9*(1-Supuestos!$B$10)</f>
        <v/>
      </c>
      <c r="C5" s="9" t="inlineStr">
        <is>
          <t>Precio medio sin IVA menos la comisión de cobro.</t>
        </is>
      </c>
    </row>
    <row r="6" ht="30" customHeight="1">
      <c r="A6" s="7" t="inlineStr">
        <is>
          <t>Costes del mes sin tu sueldo (€)</t>
        </is>
      </c>
      <c r="B6" s="19">
        <f>Supuestos!$B$11*Supuestos!$B$5*Supuestos!$B$20+Supuestos!$B$12+Supuestos!$B$13+Supuestos!$B$14+Supuestos!$B$15+Supuestos!$B$16</f>
        <v/>
      </c>
      <c r="C6" s="9" t="inlineStr">
        <is>
          <t>Instructoras + local + gastos + software + marketing + reserva.</t>
        </is>
      </c>
    </row>
    <row r="7" ht="30" customHeight="1">
      <c r="A7" s="7" t="inlineStr">
        <is>
          <t>Ocupación de equilibrio, sin tu sueldo</t>
        </is>
      </c>
      <c r="B7" s="16">
        <f>IFERROR(B6/(B4*B5),0)</f>
        <v/>
      </c>
      <c r="C7" s="9" t="inlineStr">
        <is>
          <t>Costes del mes ÷ (plazas del mes × lo que deja cada plaza).</t>
        </is>
      </c>
    </row>
    <row r="8" ht="30" customHeight="1">
      <c r="A8" s="21" t="inlineStr">
        <is>
          <t>Ocupación de equilibrio, con tu sueldo</t>
        </is>
      </c>
      <c r="B8" s="23">
        <f>IFERROR((B6+Supuestos!$B$17)/(B4*B5),0)</f>
        <v/>
      </c>
      <c r="C8" s="9" t="inlineStr">
        <is>
          <t>La misma cuenta sumando a los costes lo que quieres sacar tú. Esta es la que necesitas de verdad.</t>
        </is>
      </c>
    </row>
    <row r="9" ht="30" customHeight="1">
      <c r="A9" s="7" t="inlineStr">
        <is>
          <t>Personas por clase para cubrir costes</t>
        </is>
      </c>
      <c r="B9" s="17">
        <f>B7*Supuestos!$B$4</f>
        <v/>
      </c>
      <c r="C9" s="9" t="inlineStr">
        <is>
          <t>Ocupación de equilibrio × plazas por clase.</t>
        </is>
      </c>
    </row>
    <row r="10" ht="30" customHeight="1">
      <c r="A10" s="7" t="inlineStr">
        <is>
          <t>Personas por clase para cubrir costes y tu sueldo</t>
        </is>
      </c>
      <c r="B10" s="17">
        <f>B8*Supuestos!$B$4</f>
        <v/>
      </c>
      <c r="C10" s="9" t="inlineStr">
        <is>
          <t>Ocupación de equilibrio con sueldo × plazas por clase.</t>
        </is>
      </c>
    </row>
    <row r="11" ht="30" customHeight="1">
      <c r="A11" s="7" t="inlineStr">
        <is>
          <t>¿Llegas con tu ocupación máxima?</t>
        </is>
      </c>
      <c r="B11" s="15">
        <f>IF(Supuestos!$B$8&gt;=B8,"Sí","No")</f>
        <v/>
      </c>
      <c r="C11" s="9" t="inlineStr">
        <is>
          <t>Compara tu techo de ocupación con la ocupación de equilibrio con sueldo.</t>
        </is>
      </c>
    </row>
    <row r="12" ht="30" customHeight="1">
      <c r="A12" s="21" t="inlineStr">
        <is>
          <t>Precio mínimo por plaza para llegar con tu ocupación máxima (€)</t>
        </is>
      </c>
      <c r="B12" s="24">
        <f>IFERROR((B6+Supuestos!$B$17)/(B4*Supuestos!$B$8*(1-Supuestos!$B$10)),0)</f>
        <v/>
      </c>
      <c r="C12" s="9" t="inlineStr">
        <is>
          <t>El precio medio sin IVA que necesitas para cubrir todo si llenas hasta tu techo.</t>
        </is>
      </c>
    </row>
    <row r="13" ht="30" customHeight="1">
      <c r="A13" s="7" t="inlineStr">
        <is>
          <t>Mes en que recuperas la inversión</t>
        </is>
      </c>
      <c r="B13" s="14">
        <f>IFERROR(INDEX('12 meses'!B4:M4,MATCH(1,'12 meses'!B19:M19,0)),"No en 12 meses")</f>
        <v/>
      </c>
      <c r="C13" s="9" t="inlineStr">
        <is>
          <t>Primer mes con el acumulado después de tu sueldo por encima de la inversión inicial.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2026-10-09T21:01:34Z</dcterms:created>
  <dcterms:modified xsi:type="dcterms:W3CDTF">2026-10-09T21:01:34Z</dcterms:modified>
</cp:coreProperties>
</file>